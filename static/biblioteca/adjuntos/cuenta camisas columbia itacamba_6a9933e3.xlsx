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725"/>
  <workbookPr showInkAnnotation="0" autoCompressPictures="0"/>
  <bookViews>
    <workbookView xWindow="0" yWindow="0" windowWidth="25600" windowHeight="14100" tabRatio="500"/>
  </bookViews>
  <sheets>
    <sheet name="Hoja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8" i="1" l="1"/>
  <c r="E24" i="1"/>
  <c r="F4" i="1"/>
  <c r="F5" i="1"/>
  <c r="F6" i="1"/>
  <c r="F7" i="1"/>
  <c r="F8" i="1"/>
  <c r="F9" i="1"/>
  <c r="H14" i="1"/>
  <c r="H15" i="1"/>
  <c r="F10" i="1"/>
  <c r="E4" i="1"/>
  <c r="E5" i="1"/>
  <c r="E6" i="1"/>
  <c r="F11" i="1"/>
  <c r="E7" i="1"/>
  <c r="E8" i="1"/>
  <c r="F12" i="1"/>
  <c r="F14" i="1"/>
</calcChain>
</file>

<file path=xl/sharedStrings.xml><?xml version="1.0" encoding="utf-8"?>
<sst xmlns="http://schemas.openxmlformats.org/spreadsheetml/2006/main" count="27" uniqueCount="25">
  <si>
    <t>Cantidad</t>
  </si>
  <si>
    <t>Precio de produccion</t>
  </si>
  <si>
    <t>Precio Guara</t>
  </si>
  <si>
    <t>Total x Prenda Produccion</t>
  </si>
  <si>
    <t>Total por prenda Guara</t>
  </si>
  <si>
    <t>fermen</t>
  </si>
  <si>
    <t>jeans</t>
  </si>
  <si>
    <t>bordado</t>
  </si>
  <si>
    <t>Ganancia G.</t>
  </si>
  <si>
    <t>CAMISAS COLUMBIA</t>
  </si>
  <si>
    <t>CAMISAS S/BORDADO G</t>
  </si>
  <si>
    <t>CAMISAS COLUMBIA ITACAMBA</t>
  </si>
  <si>
    <t>INVERSION</t>
  </si>
  <si>
    <t>Saldo Guara</t>
  </si>
  <si>
    <t>Saldo fermen</t>
  </si>
  <si>
    <t>Total pedido</t>
  </si>
  <si>
    <t>a/c</t>
  </si>
  <si>
    <t>Factura 16%</t>
  </si>
  <si>
    <t>Total</t>
  </si>
  <si>
    <t>luz</t>
  </si>
  <si>
    <t xml:space="preserve">Qr </t>
  </si>
  <si>
    <t>Botones</t>
  </si>
  <si>
    <t>Regalo Thay</t>
  </si>
  <si>
    <t xml:space="preserve">Saldo total </t>
  </si>
  <si>
    <t>Total a/c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</si>
</sst>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scheme val="minor"/>
    </font>
    <font>
      <b/>
      <sz val="16"/>
      <color theme="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0000FF"/>
      <name val="Calibri"/>
      <scheme val="minor"/>
    </font>
    <font>
      <b/>
      <sz val="12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9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1" xfId="0" applyNumberFormat="1" applyBorder="1" applyAlignment="1">
      <alignment horizontal="center"/>
    </xf>
    <xf numFmtId="9" fontId="1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" fontId="1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0" fillId="2" borderId="0" xfId="0" applyFill="1"/>
    <xf numFmtId="0" fontId="1" fillId="0" borderId="2" xfId="0" applyFont="1" applyBorder="1" applyAlignment="1">
      <alignment horizontal="right"/>
    </xf>
    <xf numFmtId="0" fontId="6" fillId="0" borderId="2" xfId="0" applyFont="1" applyBorder="1"/>
    <xf numFmtId="0" fontId="3" fillId="0" borderId="0" xfId="0" applyFont="1" applyAlignment="1">
      <alignment horizontal="center" vertical="center"/>
    </xf>
  </cellXfs>
  <cellStyles count="9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topLeftCell="A5" workbookViewId="0">
      <selection activeCell="E17" sqref="E17:E18"/>
    </sheetView>
  </sheetViews>
  <sheetFormatPr baseColWidth="10" defaultRowHeight="15" x14ac:dyDescent="0"/>
  <cols>
    <col min="1" max="1" width="29.5" customWidth="1"/>
    <col min="7" max="7" width="12.5" customWidth="1"/>
  </cols>
  <sheetData>
    <row r="1" spans="1:9">
      <c r="A1" s="18" t="s">
        <v>11</v>
      </c>
      <c r="B1" s="18"/>
      <c r="C1" s="18"/>
      <c r="D1" s="18"/>
      <c r="E1" s="18"/>
      <c r="F1" s="18"/>
      <c r="G1" s="18"/>
      <c r="H1" s="18"/>
    </row>
    <row r="2" spans="1:9">
      <c r="A2" s="18"/>
      <c r="B2" s="18"/>
      <c r="C2" s="18"/>
      <c r="D2" s="18"/>
      <c r="E2" s="18"/>
      <c r="F2" s="18"/>
      <c r="G2" s="18"/>
      <c r="H2" s="18"/>
    </row>
    <row r="3" spans="1:9" ht="45">
      <c r="B3" s="3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2"/>
      <c r="H3" s="2"/>
      <c r="I3" s="2"/>
    </row>
    <row r="4" spans="1:9">
      <c r="A4" s="1" t="s">
        <v>9</v>
      </c>
      <c r="B4" s="2">
        <v>35</v>
      </c>
      <c r="C4" s="2">
        <v>140</v>
      </c>
      <c r="D4" s="2">
        <v>230</v>
      </c>
      <c r="E4" s="5">
        <f>(C4*B4)</f>
        <v>4900</v>
      </c>
      <c r="F4" s="5">
        <f>(D4*B4)</f>
        <v>8050</v>
      </c>
      <c r="G4" s="2"/>
      <c r="H4" s="2"/>
      <c r="I4" s="2"/>
    </row>
    <row r="5" spans="1:9">
      <c r="A5" s="1" t="s">
        <v>10</v>
      </c>
      <c r="B5" s="2">
        <v>8</v>
      </c>
      <c r="C5" s="2">
        <v>140</v>
      </c>
      <c r="D5" s="2"/>
      <c r="E5" s="11">
        <f>(C5*B5)</f>
        <v>1120</v>
      </c>
      <c r="F5" s="5">
        <f t="shared" ref="F5:F8" si="0">(D5*B5)</f>
        <v>0</v>
      </c>
      <c r="G5" s="12" t="s">
        <v>12</v>
      </c>
      <c r="H5" s="2"/>
      <c r="I5" s="2"/>
    </row>
    <row r="6" spans="1:9">
      <c r="A6" s="1"/>
      <c r="B6" s="2"/>
      <c r="C6" s="2"/>
      <c r="D6" s="2"/>
      <c r="E6" s="5">
        <f t="shared" ref="E6" si="1">(C6*B6)</f>
        <v>0</v>
      </c>
      <c r="F6" s="5">
        <f t="shared" si="0"/>
        <v>0</v>
      </c>
      <c r="G6" s="2"/>
      <c r="H6" s="2"/>
      <c r="I6" s="2"/>
    </row>
    <row r="7" spans="1:9">
      <c r="A7" s="1"/>
      <c r="B7" s="2"/>
      <c r="C7" s="2"/>
      <c r="D7" s="2"/>
      <c r="E7" s="5">
        <f>(C7*B7)</f>
        <v>0</v>
      </c>
      <c r="F7" s="5">
        <f>(D7*B7)</f>
        <v>0</v>
      </c>
      <c r="G7" s="2"/>
      <c r="H7" s="2"/>
      <c r="I7" s="2"/>
    </row>
    <row r="8" spans="1:9">
      <c r="A8" s="1"/>
      <c r="B8" s="2"/>
      <c r="C8" s="2"/>
      <c r="D8" s="2"/>
      <c r="E8" s="5">
        <f>(C8*B8)</f>
        <v>0</v>
      </c>
      <c r="F8" s="7">
        <f t="shared" si="0"/>
        <v>0</v>
      </c>
      <c r="G8" s="8"/>
      <c r="H8" s="8"/>
      <c r="I8" s="2"/>
    </row>
    <row r="9" spans="1:9">
      <c r="B9" s="2"/>
      <c r="C9" s="2"/>
      <c r="D9" s="2"/>
      <c r="E9" s="2"/>
      <c r="F9" s="6">
        <f>SUM(F4:F8)</f>
        <v>8050</v>
      </c>
      <c r="G9" s="2"/>
      <c r="H9" s="2"/>
      <c r="I9" s="2"/>
    </row>
    <row r="10" spans="1:9">
      <c r="B10" s="2"/>
      <c r="C10" s="2"/>
      <c r="D10" s="2"/>
      <c r="E10" s="9">
        <v>0.16</v>
      </c>
      <c r="F10" s="2">
        <f>(F9*E10)</f>
        <v>1288</v>
      </c>
      <c r="G10" s="2"/>
      <c r="H10" s="2">
        <v>1288</v>
      </c>
      <c r="I10" s="2"/>
    </row>
    <row r="11" spans="1:9">
      <c r="B11" s="2"/>
      <c r="C11" s="2"/>
      <c r="D11" s="2"/>
      <c r="E11" s="10" t="s">
        <v>5</v>
      </c>
      <c r="F11" s="5">
        <f>SUM(E4:E6)</f>
        <v>6020</v>
      </c>
      <c r="G11" s="2">
        <v>3010</v>
      </c>
      <c r="H11" s="2">
        <v>3010</v>
      </c>
      <c r="I11" s="2"/>
    </row>
    <row r="12" spans="1:9">
      <c r="B12" s="2"/>
      <c r="C12" s="2"/>
      <c r="D12" s="2"/>
      <c r="E12" s="10" t="s">
        <v>6</v>
      </c>
      <c r="F12" s="5">
        <f>SUM(E7:E8)</f>
        <v>0</v>
      </c>
      <c r="G12" s="2"/>
      <c r="H12" s="2"/>
      <c r="I12" s="2"/>
    </row>
    <row r="13" spans="1:9">
      <c r="B13" s="2"/>
      <c r="C13" s="2"/>
      <c r="D13" s="2"/>
      <c r="E13" s="10" t="s">
        <v>7</v>
      </c>
      <c r="F13" s="7"/>
      <c r="G13" s="2"/>
      <c r="H13" s="2"/>
      <c r="I13" s="2"/>
    </row>
    <row r="14" spans="1:9">
      <c r="B14" s="2"/>
      <c r="C14" s="2"/>
      <c r="D14" s="2"/>
      <c r="E14" s="10" t="s">
        <v>8</v>
      </c>
      <c r="F14" s="6">
        <f>(F9-F10-F11-F12-F13)</f>
        <v>742</v>
      </c>
      <c r="G14" s="2" t="s">
        <v>14</v>
      </c>
      <c r="H14" s="3">
        <f>SUM(H10:H13)</f>
        <v>4298</v>
      </c>
      <c r="I14" s="2" t="s">
        <v>5</v>
      </c>
    </row>
    <row r="15" spans="1:9">
      <c r="G15" s="2" t="s">
        <v>13</v>
      </c>
      <c r="H15" s="6">
        <f>(F9-H14)</f>
        <v>3752</v>
      </c>
    </row>
    <row r="17" spans="1:8">
      <c r="E17">
        <v>1299</v>
      </c>
    </row>
    <row r="18" spans="1:8">
      <c r="A18" s="13" t="s">
        <v>15</v>
      </c>
      <c r="B18">
        <v>6020</v>
      </c>
      <c r="D18" s="13" t="s">
        <v>16</v>
      </c>
      <c r="E18">
        <v>3010</v>
      </c>
      <c r="G18" s="1" t="s">
        <v>23</v>
      </c>
      <c r="H18" s="15">
        <f>(B20-E24)</f>
        <v>1834.6000000000004</v>
      </c>
    </row>
    <row r="19" spans="1:8">
      <c r="A19" s="14" t="s">
        <v>17</v>
      </c>
      <c r="B19">
        <v>1299</v>
      </c>
      <c r="D19" s="13" t="s">
        <v>19</v>
      </c>
      <c r="E19">
        <v>987.2</v>
      </c>
    </row>
    <row r="20" spans="1:8">
      <c r="A20" s="16" t="s">
        <v>18</v>
      </c>
      <c r="B20" s="17">
        <v>7308</v>
      </c>
      <c r="D20" s="13" t="s">
        <v>19</v>
      </c>
      <c r="E20">
        <v>898.2</v>
      </c>
    </row>
    <row r="21" spans="1:8">
      <c r="A21" s="13"/>
      <c r="D21" s="13" t="s">
        <v>20</v>
      </c>
      <c r="E21">
        <v>210</v>
      </c>
      <c r="G21">
        <v>7435</v>
      </c>
    </row>
    <row r="22" spans="1:8">
      <c r="D22" s="13" t="s">
        <v>21</v>
      </c>
      <c r="E22">
        <v>78</v>
      </c>
    </row>
    <row r="23" spans="1:8">
      <c r="D23" s="13" t="s">
        <v>22</v>
      </c>
      <c r="E23">
        <v>290</v>
      </c>
    </row>
    <row r="24" spans="1:8">
      <c r="D24" s="16" t="s">
        <v>24</v>
      </c>
      <c r="E24" s="17">
        <f>SUM(E18:E23)</f>
        <v>5473.4</v>
      </c>
    </row>
  </sheetData>
  <mergeCells count="1">
    <mergeCell ref="A1:H2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Apple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 User´s</dc:creator>
  <cp:lastModifiedBy>Mac User´s</cp:lastModifiedBy>
  <dcterms:created xsi:type="dcterms:W3CDTF">2025-12-30T18:43:57Z</dcterms:created>
  <dcterms:modified xsi:type="dcterms:W3CDTF">2026-01-22T15:19:01Z</dcterms:modified>
</cp:coreProperties>
</file>