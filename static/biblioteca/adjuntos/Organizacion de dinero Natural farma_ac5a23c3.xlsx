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25600" windowHeight="14120" tabRatio="500"/>
  </bookViews>
  <sheets>
    <sheet name="CONJUNTOS" sheetId="1" r:id="rId1"/>
    <sheet name="CHAMARRA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" i="1" l="1"/>
  <c r="F31" i="1"/>
  <c r="F30" i="1"/>
  <c r="E30" i="1"/>
  <c r="H7" i="2"/>
  <c r="G7" i="2"/>
  <c r="F7" i="2"/>
  <c r="F11" i="2"/>
  <c r="F8" i="2"/>
  <c r="E11" i="1"/>
  <c r="G11" i="1"/>
  <c r="E10" i="1"/>
  <c r="G10" i="1"/>
  <c r="E12" i="1"/>
  <c r="E9" i="1"/>
  <c r="E8" i="1"/>
  <c r="G8" i="1"/>
  <c r="E7" i="1"/>
  <c r="G7" i="1"/>
  <c r="E4" i="1"/>
  <c r="G4" i="1"/>
  <c r="G5" i="1"/>
  <c r="E5" i="1"/>
  <c r="E6" i="1"/>
  <c r="G9" i="1"/>
  <c r="G12" i="1"/>
  <c r="G15" i="1"/>
</calcChain>
</file>

<file path=xl/sharedStrings.xml><?xml version="1.0" encoding="utf-8"?>
<sst xmlns="http://schemas.openxmlformats.org/spreadsheetml/2006/main" count="47" uniqueCount="43">
  <si>
    <t>Conjunto Natural Farma</t>
  </si>
  <si>
    <t>Tela</t>
  </si>
  <si>
    <t>Total compra</t>
  </si>
  <si>
    <t>Cant x prend</t>
  </si>
  <si>
    <t>Total prend</t>
  </si>
  <si>
    <t>Total cant</t>
  </si>
  <si>
    <t>Precio x mt</t>
  </si>
  <si>
    <t>Costurera</t>
  </si>
  <si>
    <t>Bordado</t>
  </si>
  <si>
    <t>Presupuesto</t>
  </si>
  <si>
    <t>Elastico</t>
  </si>
  <si>
    <t>Cierre</t>
  </si>
  <si>
    <t>Cordon</t>
  </si>
  <si>
    <t>Entretela</t>
  </si>
  <si>
    <t>Boton</t>
  </si>
  <si>
    <t>Ojal y boton</t>
  </si>
  <si>
    <t>uni</t>
  </si>
  <si>
    <t>Total a Gastar</t>
  </si>
  <si>
    <t>Sra Karen a/c</t>
  </si>
  <si>
    <t>FERMEN</t>
  </si>
  <si>
    <t>CHAMARRAS DE MUJER</t>
  </si>
  <si>
    <t>Cantidad</t>
  </si>
  <si>
    <t>Precio</t>
  </si>
  <si>
    <t>A/C</t>
  </si>
  <si>
    <t>tela</t>
  </si>
  <si>
    <t>cordones</t>
  </si>
  <si>
    <t>elastico</t>
  </si>
  <si>
    <t>cierre</t>
  </si>
  <si>
    <t>45 mt</t>
  </si>
  <si>
    <t>100 uni</t>
  </si>
  <si>
    <t xml:space="preserve">entretela </t>
  </si>
  <si>
    <t>8 mt</t>
  </si>
  <si>
    <t>falta</t>
  </si>
  <si>
    <t>Saldo</t>
  </si>
  <si>
    <t>PRECIO GUARA</t>
  </si>
  <si>
    <t>Total Produccion</t>
  </si>
  <si>
    <t>total pago cliente</t>
  </si>
  <si>
    <t>saldo ganancia</t>
  </si>
  <si>
    <t>Precio de produccion</t>
  </si>
  <si>
    <t>Precio Guara</t>
  </si>
  <si>
    <t>Total x Prenda Produccion</t>
  </si>
  <si>
    <t>Total por prenda Guara</t>
  </si>
  <si>
    <t>conjuntos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</si>
</sst>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i/>
      <sz val="12"/>
      <color theme="1"/>
      <name val="Calibri"/>
      <scheme val="minor"/>
    </font>
    <font>
      <sz val="12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1" xfId="0" applyNumberFormat="1" applyFont="1" applyBorder="1"/>
    <xf numFmtId="0" fontId="3" fillId="0" borderId="0" xfId="0" applyFont="1"/>
    <xf numFmtId="16" fontId="0" fillId="0" borderId="0" xfId="0" applyNumberFormat="1"/>
    <xf numFmtId="2" fontId="0" fillId="0" borderId="0" xfId="0" applyNumberFormat="1"/>
    <xf numFmtId="0" fontId="1" fillId="0" borderId="8" xfId="0" applyFont="1" applyBorder="1" applyAlignment="1">
      <alignment horizontal="center"/>
    </xf>
    <xf numFmtId="14" fontId="0" fillId="0" borderId="5" xfId="0" applyNumberFormat="1" applyBorder="1"/>
    <xf numFmtId="0" fontId="0" fillId="0" borderId="5" xfId="0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0" fillId="0" borderId="0" xfId="0" applyAlignment="1">
      <alignment wrapText="1"/>
    </xf>
    <xf numFmtId="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H29" sqref="H29"/>
    </sheetView>
  </sheetViews>
  <sheetFormatPr baseColWidth="10" defaultRowHeight="15" x14ac:dyDescent="0"/>
  <cols>
    <col min="6" max="6" width="12.6640625" customWidth="1"/>
  </cols>
  <sheetData>
    <row r="1" spans="1:9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>
      <c r="A2" s="16"/>
      <c r="B2" s="16"/>
      <c r="C2" s="16"/>
      <c r="D2" s="16"/>
      <c r="E2" s="16"/>
      <c r="F2" s="16"/>
      <c r="G2" s="16"/>
      <c r="H2" s="16"/>
      <c r="I2" s="16"/>
    </row>
    <row r="3" spans="1:9">
      <c r="B3" s="2" t="s">
        <v>3</v>
      </c>
      <c r="C3" s="2" t="s">
        <v>4</v>
      </c>
      <c r="D3" s="2"/>
      <c r="E3" s="2" t="s">
        <v>5</v>
      </c>
      <c r="F3" s="2" t="s">
        <v>6</v>
      </c>
      <c r="G3" s="2" t="s">
        <v>2</v>
      </c>
      <c r="I3" s="4" t="s">
        <v>9</v>
      </c>
    </row>
    <row r="4" spans="1:9">
      <c r="A4" t="s">
        <v>1</v>
      </c>
      <c r="B4" s="1">
        <v>2.2000000000000002</v>
      </c>
      <c r="C4" s="1">
        <v>40</v>
      </c>
      <c r="D4" s="1"/>
      <c r="E4" s="1">
        <f>(B4*C4)</f>
        <v>88</v>
      </c>
      <c r="F4" s="3">
        <v>21</v>
      </c>
      <c r="G4" s="3">
        <f>(F4*E4)</f>
        <v>1848</v>
      </c>
      <c r="I4" s="5">
        <v>7430</v>
      </c>
    </row>
    <row r="5" spans="1:9">
      <c r="A5" t="s">
        <v>7</v>
      </c>
      <c r="C5" s="1">
        <v>40</v>
      </c>
      <c r="D5" s="1"/>
      <c r="E5" s="1">
        <f t="shared" ref="E5:E8" si="0">(B5*C5)</f>
        <v>0</v>
      </c>
      <c r="F5" s="3">
        <v>80</v>
      </c>
      <c r="G5" s="3">
        <f>(F5*C5)</f>
        <v>3200</v>
      </c>
      <c r="H5" t="s">
        <v>32</v>
      </c>
    </row>
    <row r="6" spans="1:9">
      <c r="A6" t="s">
        <v>8</v>
      </c>
      <c r="C6" s="1">
        <v>80</v>
      </c>
      <c r="D6" s="1"/>
      <c r="E6" s="1">
        <f t="shared" si="0"/>
        <v>0</v>
      </c>
      <c r="F6" s="1">
        <v>2.5</v>
      </c>
      <c r="G6" s="3">
        <f>(F6*C6)</f>
        <v>200</v>
      </c>
      <c r="H6" t="s">
        <v>32</v>
      </c>
    </row>
    <row r="7" spans="1:9">
      <c r="A7" t="s">
        <v>10</v>
      </c>
      <c r="B7">
        <v>0.8</v>
      </c>
      <c r="C7" s="1">
        <v>40</v>
      </c>
      <c r="E7" s="1">
        <f t="shared" si="0"/>
        <v>32</v>
      </c>
      <c r="F7">
        <v>1.8</v>
      </c>
      <c r="G7" s="3">
        <f>(F7*E7)</f>
        <v>57.6</v>
      </c>
    </row>
    <row r="8" spans="1:9">
      <c r="A8" t="s">
        <v>11</v>
      </c>
      <c r="B8">
        <v>2</v>
      </c>
      <c r="C8" s="1">
        <v>40</v>
      </c>
      <c r="E8" s="1">
        <f t="shared" si="0"/>
        <v>80</v>
      </c>
      <c r="F8">
        <v>1</v>
      </c>
      <c r="G8" s="3">
        <f>(F8*E8)</f>
        <v>80</v>
      </c>
    </row>
    <row r="9" spans="1:9">
      <c r="A9" t="s">
        <v>12</v>
      </c>
      <c r="B9">
        <v>1</v>
      </c>
      <c r="C9" s="1">
        <v>40</v>
      </c>
      <c r="E9" s="1">
        <f>(B9*C9)</f>
        <v>40</v>
      </c>
      <c r="F9">
        <v>2</v>
      </c>
      <c r="G9" s="3">
        <f t="shared" ref="G9:G12" si="1">(F9*C9)</f>
        <v>80</v>
      </c>
    </row>
    <row r="10" spans="1:9">
      <c r="A10" t="s">
        <v>13</v>
      </c>
      <c r="B10">
        <v>0.15</v>
      </c>
      <c r="C10" s="1">
        <v>40</v>
      </c>
      <c r="E10" s="1">
        <f>(B10*C10)</f>
        <v>6</v>
      </c>
      <c r="F10">
        <v>10</v>
      </c>
      <c r="G10" s="3">
        <f>(F10*E10)</f>
        <v>60</v>
      </c>
    </row>
    <row r="11" spans="1:9">
      <c r="A11" t="s">
        <v>14</v>
      </c>
      <c r="B11">
        <v>3</v>
      </c>
      <c r="C11">
        <v>40</v>
      </c>
      <c r="E11" s="1">
        <f>(B11*C11)</f>
        <v>120</v>
      </c>
      <c r="F11">
        <v>6.5000000000000002E-2</v>
      </c>
      <c r="G11" s="3">
        <f>(F11*E11)</f>
        <v>7.8000000000000007</v>
      </c>
    </row>
    <row r="12" spans="1:9">
      <c r="A12" t="s">
        <v>15</v>
      </c>
      <c r="B12">
        <v>1</v>
      </c>
      <c r="C12">
        <v>40</v>
      </c>
      <c r="D12" t="s">
        <v>16</v>
      </c>
      <c r="E12" s="1">
        <f t="shared" ref="E12" si="2">(B12*C12)</f>
        <v>40</v>
      </c>
      <c r="F12">
        <v>2.5</v>
      </c>
      <c r="G12" s="3">
        <f t="shared" si="1"/>
        <v>100</v>
      </c>
      <c r="H12" t="s">
        <v>32</v>
      </c>
    </row>
    <row r="15" spans="1:9">
      <c r="F15" s="7" t="s">
        <v>17</v>
      </c>
      <c r="G15" s="6">
        <f>SUM(G4:G12)</f>
        <v>5633.4000000000005</v>
      </c>
    </row>
    <row r="19" spans="1:7">
      <c r="G19" s="9"/>
    </row>
    <row r="20" spans="1:7">
      <c r="E20" s="8">
        <v>46038</v>
      </c>
      <c r="F20" t="s">
        <v>18</v>
      </c>
      <c r="G20" s="9">
        <v>1000</v>
      </c>
    </row>
    <row r="21" spans="1:7">
      <c r="F21" t="s">
        <v>24</v>
      </c>
      <c r="G21" s="9">
        <v>1848</v>
      </c>
    </row>
    <row r="22" spans="1:7">
      <c r="F22" t="s">
        <v>25</v>
      </c>
      <c r="G22" s="9">
        <v>60</v>
      </c>
    </row>
    <row r="23" spans="1:7">
      <c r="E23" t="s">
        <v>28</v>
      </c>
      <c r="F23" t="s">
        <v>26</v>
      </c>
      <c r="G23" s="9">
        <v>68</v>
      </c>
    </row>
    <row r="24" spans="1:7">
      <c r="E24" t="s">
        <v>29</v>
      </c>
      <c r="F24" t="s">
        <v>27</v>
      </c>
      <c r="G24" s="9">
        <v>70</v>
      </c>
    </row>
    <row r="25" spans="1:7">
      <c r="E25" t="s">
        <v>31</v>
      </c>
      <c r="F25" t="s">
        <v>30</v>
      </c>
      <c r="G25" s="9">
        <v>64</v>
      </c>
    </row>
    <row r="26" spans="1:7">
      <c r="G26" s="9"/>
    </row>
    <row r="29" spans="1:7" ht="45">
      <c r="B29" s="2" t="s">
        <v>21</v>
      </c>
      <c r="C29" s="26" t="s">
        <v>38</v>
      </c>
      <c r="D29" s="26" t="s">
        <v>39</v>
      </c>
      <c r="E29" s="26" t="s">
        <v>40</v>
      </c>
      <c r="F29" s="26" t="s">
        <v>41</v>
      </c>
    </row>
    <row r="30" spans="1:7">
      <c r="A30" s="2" t="s">
        <v>42</v>
      </c>
      <c r="B30">
        <v>40</v>
      </c>
      <c r="C30">
        <v>220</v>
      </c>
      <c r="D30">
        <v>300</v>
      </c>
      <c r="E30" s="9">
        <f>(C30*B30)</f>
        <v>8800</v>
      </c>
      <c r="F30" s="9">
        <f>(D30*B30)</f>
        <v>12000</v>
      </c>
    </row>
    <row r="31" spans="1:7">
      <c r="F31" s="25">
        <f>SUM(F30:F30)</f>
        <v>12000</v>
      </c>
    </row>
  </sheetData>
  <mergeCells count="1">
    <mergeCell ref="A1:I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13"/>
  <sheetViews>
    <sheetView workbookViewId="0">
      <selection activeCell="I13" sqref="I13"/>
    </sheetView>
  </sheetViews>
  <sheetFormatPr baseColWidth="10" defaultRowHeight="15" x14ac:dyDescent="0"/>
  <sheetData>
    <row r="4" spans="3:8">
      <c r="C4" s="17" t="s">
        <v>19</v>
      </c>
      <c r="D4" s="18"/>
      <c r="E4" s="18"/>
      <c r="F4" s="19"/>
    </row>
    <row r="5" spans="3:8">
      <c r="C5" s="20" t="s">
        <v>20</v>
      </c>
      <c r="D5" s="21"/>
      <c r="E5" s="21"/>
      <c r="F5" s="22"/>
    </row>
    <row r="6" spans="3:8" ht="30">
      <c r="C6" s="10" t="s">
        <v>21</v>
      </c>
      <c r="D6" s="10" t="s">
        <v>22</v>
      </c>
      <c r="E6" s="23" t="s">
        <v>34</v>
      </c>
      <c r="F6" s="23" t="s">
        <v>35</v>
      </c>
      <c r="G6" s="24" t="s">
        <v>36</v>
      </c>
      <c r="H6" s="24" t="s">
        <v>37</v>
      </c>
    </row>
    <row r="7" spans="3:8">
      <c r="C7" s="1">
        <v>40</v>
      </c>
      <c r="D7" s="3">
        <v>120</v>
      </c>
      <c r="E7" s="3">
        <v>250</v>
      </c>
      <c r="F7" s="3">
        <f>(C7*D7)</f>
        <v>4800</v>
      </c>
      <c r="G7" s="9">
        <f>(C7*E7)</f>
        <v>10000</v>
      </c>
      <c r="H7" s="25">
        <f>(G7-F7)</f>
        <v>5200</v>
      </c>
    </row>
    <row r="8" spans="3:8">
      <c r="C8" s="11">
        <v>46045</v>
      </c>
      <c r="D8" s="12" t="s">
        <v>23</v>
      </c>
      <c r="E8" s="14"/>
      <c r="F8" s="13">
        <f>(F7/2)</f>
        <v>2400</v>
      </c>
    </row>
    <row r="9" spans="3:8">
      <c r="C9" s="8">
        <v>46050</v>
      </c>
      <c r="D9" t="s">
        <v>23</v>
      </c>
      <c r="F9" s="3">
        <v>1500</v>
      </c>
    </row>
    <row r="10" spans="3:8">
      <c r="F10" s="1"/>
    </row>
    <row r="11" spans="3:8">
      <c r="D11" s="2" t="s">
        <v>33</v>
      </c>
      <c r="E11" s="2"/>
      <c r="F11" s="15">
        <f>(F7-F8-F9-F10)</f>
        <v>900</v>
      </c>
    </row>
    <row r="13" spans="3:8">
      <c r="H13" s="1"/>
    </row>
  </sheetData>
  <mergeCells count="2">
    <mergeCell ref="C4:F4"/>
    <mergeCell ref="C5:F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CONJUNTOS</vt:lpstr>
      <vt:lpstr>CHAMARRA</vt:lpstr>
    </vt:vector>
  </TitlesOfParts>
  <Company>Apple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User´s</dc:creator>
  <cp:lastModifiedBy>Mac User´s</cp:lastModifiedBy>
  <dcterms:created xsi:type="dcterms:W3CDTF">2026-01-14T20:21:20Z</dcterms:created>
  <dcterms:modified xsi:type="dcterms:W3CDTF">2026-02-02T14:56:21Z</dcterms:modified>
</cp:coreProperties>
</file>